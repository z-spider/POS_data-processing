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户激活查询（代理商）导出" r:id="rId3" sheetId="1"/>
  </sheets>
</workbook>
</file>

<file path=xl/sharedStrings.xml><?xml version="1.0" encoding="utf-8"?>
<sst xmlns="http://schemas.openxmlformats.org/spreadsheetml/2006/main" count="334" uniqueCount="93">
  <si>
    <t>商户编号</t>
  </si>
  <si>
    <t>商户名称</t>
  </si>
  <si>
    <t>手机登录号</t>
  </si>
  <si>
    <t>所属服务商编号</t>
  </si>
  <si>
    <t>所属服务商名称</t>
  </si>
  <si>
    <t>所属下级服务商编号</t>
  </si>
  <si>
    <t>所属下级服务商名称</t>
  </si>
  <si>
    <t>终端机身号</t>
  </si>
  <si>
    <t>注册日期</t>
  </si>
  <si>
    <t>第几月</t>
  </si>
  <si>
    <t>考核月</t>
  </si>
  <si>
    <t>总累积消费金额</t>
  </si>
  <si>
    <t>有效累积消费金额</t>
  </si>
  <si>
    <t>激活日期</t>
  </si>
  <si>
    <t>激活状态</t>
  </si>
  <si>
    <t>激活卡号</t>
  </si>
  <si>
    <t>未激活原因</t>
  </si>
  <si>
    <t>活动类型</t>
  </si>
  <si>
    <t/>
  </si>
  <si>
    <t>1000282195</t>
  </si>
  <si>
    <t>冯**</t>
  </si>
  <si>
    <t>159****8508</t>
  </si>
  <si>
    <t>80083159</t>
  </si>
  <si>
    <t>陈路</t>
  </si>
  <si>
    <t>00000302J8NL14366106</t>
  </si>
  <si>
    <t>2020-11-08</t>
  </si>
  <si>
    <t>1</t>
  </si>
  <si>
    <t>202011</t>
  </si>
  <si>
    <t>20201108</t>
  </si>
  <si>
    <t>已激活</t>
  </si>
  <si>
    <t>625958******3013</t>
  </si>
  <si>
    <t>星收宝</t>
  </si>
  <si>
    <t>1000282255</t>
  </si>
  <si>
    <t>肖**</t>
  </si>
  <si>
    <t>138****3879</t>
  </si>
  <si>
    <t>80059749</t>
  </si>
  <si>
    <t>杨勇12580</t>
  </si>
  <si>
    <t>00000302J8NL14054319</t>
  </si>
  <si>
    <t>625362******8889</t>
  </si>
  <si>
    <t>1000281787</t>
  </si>
  <si>
    <t>庞**</t>
  </si>
  <si>
    <t>130****5577</t>
  </si>
  <si>
    <t>80059784</t>
  </si>
  <si>
    <t>李迎庆</t>
  </si>
  <si>
    <t>00000302J8NL14054434</t>
  </si>
  <si>
    <t>625336******6523</t>
  </si>
  <si>
    <t>1000280269</t>
  </si>
  <si>
    <t>潘*</t>
  </si>
  <si>
    <t>187****8608</t>
  </si>
  <si>
    <t>00000302J8NL14054438</t>
  </si>
  <si>
    <t>622656******4534</t>
  </si>
  <si>
    <t>1000275983</t>
  </si>
  <si>
    <t>徐*</t>
  </si>
  <si>
    <t>177****9888</t>
  </si>
  <si>
    <t>00000302J8NL14054433</t>
  </si>
  <si>
    <t>622156******4273</t>
  </si>
  <si>
    <t>1000275726</t>
  </si>
  <si>
    <t>范**</t>
  </si>
  <si>
    <t>159****1166</t>
  </si>
  <si>
    <t>80057640</t>
  </si>
  <si>
    <t>周小启</t>
  </si>
  <si>
    <t>00000302J8NL14060102</t>
  </si>
  <si>
    <t>622235******5756</t>
  </si>
  <si>
    <t>1000273399</t>
  </si>
  <si>
    <t>潘**</t>
  </si>
  <si>
    <t>135****9132</t>
  </si>
  <si>
    <t>80060169</t>
  </si>
  <si>
    <t>河南融鼎电子科技有限公司</t>
  </si>
  <si>
    <t>00000302J8NL14366177</t>
  </si>
  <si>
    <t>2020-11-07</t>
  </si>
  <si>
    <t>625336******1549</t>
  </si>
  <si>
    <t>1000180361</t>
  </si>
  <si>
    <t>何**</t>
  </si>
  <si>
    <t>185****7875</t>
  </si>
  <si>
    <t>80060517</t>
  </si>
  <si>
    <t>张民坤88</t>
  </si>
  <si>
    <t>80059892</t>
  </si>
  <si>
    <t>孟振伟</t>
  </si>
  <si>
    <t>00000302J8NL14366129</t>
  </si>
  <si>
    <t>2020-10-31</t>
  </si>
  <si>
    <t>202010</t>
  </si>
  <si>
    <t>622576******8548</t>
  </si>
  <si>
    <t>1000138260</t>
  </si>
  <si>
    <t>张*</t>
  </si>
  <si>
    <t>158****7182</t>
  </si>
  <si>
    <t>00000302J8NL14366154</t>
  </si>
  <si>
    <t>2020-10-28</t>
  </si>
  <si>
    <t>521899******1280</t>
  </si>
  <si>
    <t>1000153478</t>
  </si>
  <si>
    <t>徐**</t>
  </si>
  <si>
    <t>137****1742</t>
  </si>
  <si>
    <t>00000302J8NL14060101</t>
  </si>
  <si>
    <t>622155******6257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</si>
</sst>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  <font>
      <name val="Calibri"/>
      <sz val="11.0"/>
    </font>
  </fonts>
  <fills count="8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Border="true" applyFont="true">
      <alignment horizontal="center" vertical="center"/>
    </xf>
    <xf numFmtId="4" fontId="2" fillId="5" borderId="4" xfId="0" applyFill="true" applyBorder="true" applyFont="true" applyNumberFormat="true">
      <alignment horizontal="center" vertical="center"/>
    </xf>
    <xf numFmtId="0" fontId="2" fillId="5" borderId="4" xfId="0" applyFill="true" applyBorder="true" applyFont="true">
      <alignment horizontal="center" vertical="center"/>
    </xf>
    <xf numFmtId="0" fontId="2" fillId="5" borderId="4" xfId="0" applyFill="true" applyBorder="true" applyFont="true">
      <alignment horizontal="center" vertic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4" fontId="3" fillId="7" borderId="4" xfId="0" applyFill="true" applyBorder="true" applyFont="true" applyNumberFormat="true">
      <alignment horizontal="center"/>
    </xf>
    <xf numFmtId="4" fontId="3" fillId="7" borderId="4" xfId="0" applyFill="true" applyBorder="true" applyFont="true" applyNumberForma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  <xf numFmtId="0" fontId="3" fillId="7" borderId="4" xfId="0" applyFill="true" applyBorder="true" applyFont="true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3" t="n">
        <v>5125.0</v>
      </c>
      <c r="M2" s="3" t="n">
        <v>0.0</v>
      </c>
      <c r="N2" s="2" t="s">
        <v>28</v>
      </c>
      <c r="O2" s="2" t="s">
        <v>29</v>
      </c>
      <c r="P2" s="2" t="s">
        <v>30</v>
      </c>
      <c r="Q2" s="2"/>
      <c r="R2" s="2" t="s">
        <v>31</v>
      </c>
    </row>
    <row r="3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35</v>
      </c>
      <c r="G3" s="2" t="s">
        <v>36</v>
      </c>
      <c r="H3" s="2" t="s">
        <v>37</v>
      </c>
      <c r="I3" s="2" t="s">
        <v>25</v>
      </c>
      <c r="J3" s="2" t="s">
        <v>26</v>
      </c>
      <c r="K3" s="2" t="s">
        <v>27</v>
      </c>
      <c r="L3" s="3" t="n">
        <v>200.0</v>
      </c>
      <c r="M3" s="3" t="n">
        <v>200.0</v>
      </c>
      <c r="N3" s="2" t="s">
        <v>28</v>
      </c>
      <c r="O3" s="2" t="s">
        <v>29</v>
      </c>
      <c r="P3" s="2" t="s">
        <v>38</v>
      </c>
      <c r="Q3" s="2"/>
      <c r="R3" s="2" t="s">
        <v>31</v>
      </c>
    </row>
    <row r="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42</v>
      </c>
      <c r="G4" s="2" t="s">
        <v>43</v>
      </c>
      <c r="H4" s="2" t="s">
        <v>44</v>
      </c>
      <c r="I4" s="2" t="s">
        <v>25</v>
      </c>
      <c r="J4" s="2" t="s">
        <v>26</v>
      </c>
      <c r="K4" s="2" t="s">
        <v>27</v>
      </c>
      <c r="L4" s="3" t="n">
        <v>4950.0</v>
      </c>
      <c r="M4" s="3" t="n">
        <v>4950.0</v>
      </c>
      <c r="N4" s="2" t="s">
        <v>28</v>
      </c>
      <c r="O4" s="2" t="s">
        <v>29</v>
      </c>
      <c r="P4" s="2" t="s">
        <v>45</v>
      </c>
      <c r="Q4" s="2"/>
      <c r="R4" s="2" t="s">
        <v>31</v>
      </c>
    </row>
    <row r="5">
      <c r="A5" s="2" t="s">
        <v>46</v>
      </c>
      <c r="B5" s="2" t="s">
        <v>47</v>
      </c>
      <c r="C5" s="2" t="s">
        <v>48</v>
      </c>
      <c r="D5" s="2" t="s">
        <v>42</v>
      </c>
      <c r="E5" s="2" t="s">
        <v>43</v>
      </c>
      <c r="F5" s="2" t="s">
        <v>42</v>
      </c>
      <c r="G5" s="2" t="s">
        <v>43</v>
      </c>
      <c r="H5" s="2" t="s">
        <v>49</v>
      </c>
      <c r="I5" s="2" t="s">
        <v>25</v>
      </c>
      <c r="J5" s="2" t="s">
        <v>26</v>
      </c>
      <c r="K5" s="2" t="s">
        <v>27</v>
      </c>
      <c r="L5" s="3" t="n">
        <v>8942.92</v>
      </c>
      <c r="M5" s="3" t="n">
        <v>8942.92</v>
      </c>
      <c r="N5" s="2" t="s">
        <v>28</v>
      </c>
      <c r="O5" s="2" t="s">
        <v>29</v>
      </c>
      <c r="P5" s="2" t="s">
        <v>50</v>
      </c>
      <c r="Q5" s="2"/>
      <c r="R5" s="2" t="s">
        <v>31</v>
      </c>
    </row>
    <row r="6">
      <c r="A6" s="2" t="s">
        <v>51</v>
      </c>
      <c r="B6" s="2" t="s">
        <v>52</v>
      </c>
      <c r="C6" s="2" t="s">
        <v>53</v>
      </c>
      <c r="D6" s="2" t="s">
        <v>42</v>
      </c>
      <c r="E6" s="2" t="s">
        <v>43</v>
      </c>
      <c r="F6" s="2" t="s">
        <v>42</v>
      </c>
      <c r="G6" s="2" t="s">
        <v>43</v>
      </c>
      <c r="H6" s="2" t="s">
        <v>54</v>
      </c>
      <c r="I6" s="2" t="s">
        <v>25</v>
      </c>
      <c r="J6" s="2" t="s">
        <v>26</v>
      </c>
      <c r="K6" s="2" t="s">
        <v>27</v>
      </c>
      <c r="L6" s="3" t="n">
        <v>100.0</v>
      </c>
      <c r="M6" s="3" t="n">
        <v>100.0</v>
      </c>
      <c r="N6" s="2" t="s">
        <v>28</v>
      </c>
      <c r="O6" s="2" t="s">
        <v>29</v>
      </c>
      <c r="P6" s="2" t="s">
        <v>55</v>
      </c>
      <c r="Q6" s="2"/>
      <c r="R6" s="2" t="s">
        <v>31</v>
      </c>
    </row>
    <row r="7">
      <c r="A7" s="2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59</v>
      </c>
      <c r="G7" s="2" t="s">
        <v>60</v>
      </c>
      <c r="H7" s="2" t="s">
        <v>61</v>
      </c>
      <c r="I7" s="2" t="s">
        <v>25</v>
      </c>
      <c r="J7" s="2" t="s">
        <v>26</v>
      </c>
      <c r="K7" s="2" t="s">
        <v>27</v>
      </c>
      <c r="L7" s="3" t="n">
        <v>852.0</v>
      </c>
      <c r="M7" s="3" t="n">
        <v>852.0</v>
      </c>
      <c r="N7" s="2" t="s">
        <v>28</v>
      </c>
      <c r="O7" s="2" t="s">
        <v>29</v>
      </c>
      <c r="P7" s="2" t="s">
        <v>62</v>
      </c>
      <c r="Q7" s="2"/>
      <c r="R7" s="2" t="s">
        <v>31</v>
      </c>
    </row>
    <row r="8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26</v>
      </c>
      <c r="K8" s="2" t="s">
        <v>27</v>
      </c>
      <c r="L8" s="3" t="n">
        <v>9398.0</v>
      </c>
      <c r="M8" s="3" t="n">
        <v>0.0</v>
      </c>
      <c r="N8" s="2" t="s">
        <v>28</v>
      </c>
      <c r="O8" s="2" t="s">
        <v>29</v>
      </c>
      <c r="P8" s="2" t="s">
        <v>70</v>
      </c>
      <c r="Q8" s="2"/>
      <c r="R8" s="2" t="s">
        <v>31</v>
      </c>
    </row>
    <row r="9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26</v>
      </c>
      <c r="K9" s="2" t="s">
        <v>80</v>
      </c>
      <c r="L9" s="3" t="n">
        <v>3250.0</v>
      </c>
      <c r="M9" s="3" t="n">
        <v>2150.0</v>
      </c>
      <c r="N9" s="2" t="s">
        <v>28</v>
      </c>
      <c r="O9" s="2" t="s">
        <v>29</v>
      </c>
      <c r="P9" s="2" t="s">
        <v>81</v>
      </c>
      <c r="Q9" s="2"/>
      <c r="R9" s="2" t="s">
        <v>31</v>
      </c>
    </row>
    <row r="10">
      <c r="A10" s="2" t="s">
        <v>82</v>
      </c>
      <c r="B10" s="2" t="s">
        <v>83</v>
      </c>
      <c r="C10" s="2" t="s">
        <v>84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85</v>
      </c>
      <c r="I10" s="2" t="s">
        <v>86</v>
      </c>
      <c r="J10" s="2" t="s">
        <v>26</v>
      </c>
      <c r="K10" s="2" t="s">
        <v>80</v>
      </c>
      <c r="L10" s="3" t="n">
        <v>9700.0</v>
      </c>
      <c r="M10" s="3" t="n">
        <v>4800.0</v>
      </c>
      <c r="N10" s="2" t="s">
        <v>28</v>
      </c>
      <c r="O10" s="2" t="s">
        <v>29</v>
      </c>
      <c r="P10" s="2" t="s">
        <v>87</v>
      </c>
      <c r="Q10" s="2"/>
      <c r="R10" s="2" t="s">
        <v>31</v>
      </c>
    </row>
    <row r="11">
      <c r="A11" s="2" t="s">
        <v>88</v>
      </c>
      <c r="B11" s="2" t="s">
        <v>89</v>
      </c>
      <c r="C11" s="2" t="s">
        <v>90</v>
      </c>
      <c r="D11" s="2" t="s">
        <v>59</v>
      </c>
      <c r="E11" s="2" t="s">
        <v>60</v>
      </c>
      <c r="F11" s="2" t="s">
        <v>59</v>
      </c>
      <c r="G11" s="2" t="s">
        <v>60</v>
      </c>
      <c r="H11" s="2" t="s">
        <v>91</v>
      </c>
      <c r="I11" s="2" t="s">
        <v>86</v>
      </c>
      <c r="J11" s="2" t="s">
        <v>26</v>
      </c>
      <c r="K11" s="2" t="s">
        <v>80</v>
      </c>
      <c r="L11" s="3" t="n">
        <v>2027.0</v>
      </c>
      <c r="M11" s="3" t="n">
        <v>102.0</v>
      </c>
      <c r="N11" s="2" t="s">
        <v>28</v>
      </c>
      <c r="O11" s="2" t="s">
        <v>29</v>
      </c>
      <c r="P11" s="2" t="s">
        <v>92</v>
      </c>
      <c r="Q11" s="2"/>
      <c r="R11" s="2" t="s">
        <v>31</v>
      </c>
    </row>
    <row r="12">
      <c r="A12" t="s">
        <v>18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s="17">
        <f>SUM(L2:L11)</f>
      </c>
      <c r="M12" s="18">
        <f>SUM(M2:M11)</f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</sheetData>
  <sheetCalcPr fullCalcOnLoa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2020-11-09T05:37:00Z</dcterms:created>
  <dc:creator>Apache POI</dc:creator>
</cp:coreProperties>
</file>